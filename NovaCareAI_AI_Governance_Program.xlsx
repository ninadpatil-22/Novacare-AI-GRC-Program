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GRC Project 2 using Eramba\"/>
    </mc:Choice>
  </mc:AlternateContent>
  <xr:revisionPtr revIDLastSave="0" documentId="13_ncr:1_{0328B1C0-70FC-4DAB-8897-D8C5A704823A}" xr6:coauthVersionLast="47" xr6:coauthVersionMax="47" xr10:uidLastSave="{00000000-0000-0000-0000-000000000000}"/>
  <bookViews>
    <workbookView xWindow="-108" yWindow="-108" windowWidth="23256" windowHeight="12456" xr2:uid="{D382605D-94F7-4502-92B8-26D7AFD71759}"/>
  </bookViews>
  <sheets>
    <sheet name="AI Tool Inventory" sheetId="1" r:id="rId1"/>
    <sheet name="Risk Assessment" sheetId="3" r:id="rId2"/>
    <sheet name="Control Gap Matrix" sheetId="4" r:id="rId3"/>
    <sheet name="Remediation Roadma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</calcChain>
</file>

<file path=xl/sharedStrings.xml><?xml version="1.0" encoding="utf-8"?>
<sst xmlns="http://schemas.openxmlformats.org/spreadsheetml/2006/main" count="392" uniqueCount="220">
  <si>
    <t>Tool ID</t>
  </si>
  <si>
    <t>Tool Name</t>
  </si>
  <si>
    <t>Vendor</t>
  </si>
  <si>
    <t>Category</t>
  </si>
  <si>
    <t>Business Purpose</t>
  </si>
  <si>
    <t>Data Accessed</t>
  </si>
  <si>
    <t>Deployment Type</t>
  </si>
  <si>
    <t>Business Owner</t>
  </si>
  <si>
    <t>T-001</t>
  </si>
  <si>
    <t>Microsoft Copilot 365</t>
  </si>
  <si>
    <t>Microsoft</t>
  </si>
  <si>
    <t>Productivity AI</t>
  </si>
  <si>
    <t>Drafting clinical summaries, internal emails</t>
  </si>
  <si>
    <t>PHI, employee data</t>
  </si>
  <si>
    <t>SaaS</t>
  </si>
  <si>
    <t>Operations</t>
  </si>
  <si>
    <t>T-002</t>
  </si>
  <si>
    <t>ChatGPT Enterprise</t>
  </si>
  <si>
    <t>OpenAI</t>
  </si>
  <si>
    <t>Generative AI</t>
  </si>
  <si>
    <t>Research, policy drafting, code assistance</t>
  </si>
  <si>
    <t>Internal docs, some PII</t>
  </si>
  <si>
    <t>Engineering</t>
  </si>
  <si>
    <t>T-003</t>
  </si>
  <si>
    <t>AWS Bedrock</t>
  </si>
  <si>
    <t>Amazon</t>
  </si>
  <si>
    <t>AI Infrastructure</t>
  </si>
  <si>
    <t>Powers NovaCare's in-app AI features</t>
  </si>
  <si>
    <t>PHI, cardholder data</t>
  </si>
  <si>
    <t>Cloud-hosted</t>
  </si>
  <si>
    <t>T-004</t>
  </si>
  <si>
    <t>Nuance DAX</t>
  </si>
  <si>
    <t>Clinical AI</t>
  </si>
  <si>
    <t>Automated clinical note generation</t>
  </si>
  <si>
    <t>PHI — highly sensitive</t>
  </si>
  <si>
    <t>Clinical Operations</t>
  </si>
  <si>
    <t>T-005</t>
  </si>
  <si>
    <t>GitHub Copilot</t>
  </si>
  <si>
    <t>GitHub/Microsoft</t>
  </si>
  <si>
    <t>Code AI</t>
  </si>
  <si>
    <t>Developer code suggestions</t>
  </si>
  <si>
    <t>Source code, config files</t>
  </si>
  <si>
    <t>T-006</t>
  </si>
  <si>
    <t>Salesforce Einstein</t>
  </si>
  <si>
    <t>Salesforce</t>
  </si>
  <si>
    <t>CRM AI</t>
  </si>
  <si>
    <t>Customer insights, support automation</t>
  </si>
  <si>
    <t>PII, contact data</t>
  </si>
  <si>
    <t>Sales &amp; Support</t>
  </si>
  <si>
    <t>Regulatory Relevance</t>
  </si>
  <si>
    <t>Approved Status</t>
  </si>
  <si>
    <t>Risk Rating (Preliminary)</t>
  </si>
  <si>
    <t>HIPAA, GDPR, CCPA, ISO 27001</t>
  </si>
  <si>
    <t>GDPR, CCPA, SOC 2</t>
  </si>
  <si>
    <t>HIPAA, PCI DSS, SOC 2, ISO 42001</t>
  </si>
  <si>
    <t>HIPAA, GDPR, ISO 42001</t>
  </si>
  <si>
    <t>SOC 2, ISO 27001</t>
  </si>
  <si>
    <t>Approved</t>
  </si>
  <si>
    <t>Conditionally Approved</t>
  </si>
  <si>
    <t>High</t>
  </si>
  <si>
    <t>Critical</t>
  </si>
  <si>
    <t>Medium</t>
  </si>
  <si>
    <t>Risk Category</t>
  </si>
  <si>
    <t>Risk Description</t>
  </si>
  <si>
    <t>Likelihood</t>
  </si>
  <si>
    <t>Impact</t>
  </si>
  <si>
    <t>Risk Score</t>
  </si>
  <si>
    <t>Risk Level</t>
  </si>
  <si>
    <t>Current Controls</t>
  </si>
  <si>
    <t>Recommended Actions</t>
  </si>
  <si>
    <t>Data Leakage</t>
  </si>
  <si>
    <t>PHI inadvertently included in Copilot prompts sent to Microsoft servers</t>
  </si>
  <si>
    <t>Microsoft BAA in place, DLP policies</t>
  </si>
  <si>
    <t>Restrict PHI input via DLP rules, staff training, audit prompt logs quarterly</t>
  </si>
  <si>
    <t>Vendor Risk</t>
  </si>
  <si>
    <t>Microsoft data retention policies may conflict with HIPAA minimum necessary standard</t>
  </si>
  <si>
    <t>BAA signed</t>
  </si>
  <si>
    <t>Review data retention settings, confirm PHI not retained beyond session</t>
  </si>
  <si>
    <t>Employees pasting PII or internal data into prompts despite policy</t>
  </si>
  <si>
    <t>Acceptable use policy</t>
  </si>
  <si>
    <t>Enforce via DLP, block personal ChatGPT accounts on corporate network</t>
  </si>
  <si>
    <t>Model Bias</t>
  </si>
  <si>
    <t>AI outputs may reflect biased training data affecting policy decisions</t>
  </si>
  <si>
    <t>Human review required</t>
  </si>
  <si>
    <t>Implement output review process, document bias incidents</t>
  </si>
  <si>
    <t>Data Exposure</t>
  </si>
  <si>
    <t>PHI and cardholder data processed through Bedrock models may be logged</t>
  </si>
  <si>
    <t>AWS BAA, encryption at rest</t>
  </si>
  <si>
    <t>Disable model training on customer data, audit CloudTrail logs monthly</t>
  </si>
  <si>
    <t>Compliance</t>
  </si>
  <si>
    <t>Bedrock AI outputs used in clinical decisions without explainability documentation</t>
  </si>
  <si>
    <t>None currently</t>
  </si>
  <si>
    <t>Implement AI explainability framework per ISO 42001 §6.1</t>
  </si>
  <si>
    <t>Clinical conversations containing PHI transmitted to Nuance cloud infrastructure</t>
  </si>
  <si>
    <t>BAA signed, TLS encryption</t>
  </si>
  <si>
    <t>Annual vendor security review, confirm SOC 2 Type II report obtained</t>
  </si>
  <si>
    <t>Accuracy Risk</t>
  </si>
  <si>
    <t>AI-generated clinical notes contain errors leading to patient safety risk</t>
  </si>
  <si>
    <t>Clinician review required</t>
  </si>
  <si>
    <t>Mandatory clinician sign-off policy, error rate tracking, quarterly audit</t>
  </si>
  <si>
    <t>IP &amp; Code Risk</t>
  </si>
  <si>
    <t>Copilot suggestions may include copyrighted code or expose proprietary logic</t>
  </si>
  <si>
    <t>Developer awareness</t>
  </si>
  <si>
    <t>Code review policy, licence scanning in CI/CD pipeline</t>
  </si>
  <si>
    <t>Source code containing secrets or config data autocompleted and exposed</t>
  </si>
  <si>
    <t>Secret scanning enabled</t>
  </si>
  <si>
    <t>Enforce pre-commit hooks, rotate any exposed credentials immediately</t>
  </si>
  <si>
    <t>Privacy</t>
  </si>
  <si>
    <t>CRM AI processing PII of California residents triggers CCPA obligations</t>
  </si>
  <si>
    <t>Privacy policy published</t>
  </si>
  <si>
    <t>CCPA data mapping, opt-out mechanism validation, annual privacy review</t>
  </si>
  <si>
    <t>Salesforce sub-processors may process EU customer data triggering GDPR obligations</t>
  </si>
  <si>
    <t>DPA signed</t>
  </si>
  <si>
    <t>Review Salesforce sub-processor list, ensure SCCs in place for EU transfers</t>
  </si>
  <si>
    <t>ISO 42001 Control</t>
  </si>
  <si>
    <t>NIST AI RMF</t>
  </si>
  <si>
    <t>ISO 27001:2022</t>
  </si>
  <si>
    <t>GDPR/CCPA</t>
  </si>
  <si>
    <t>SOC 2</t>
  </si>
  <si>
    <t>Gap Status</t>
  </si>
  <si>
    <t>PHI in prompts sent to Microsoft</t>
  </si>
  <si>
    <t>§6.1 AI risk assessment</t>
  </si>
  <si>
    <t>GOVERN 1.1</t>
  </si>
  <si>
    <t>A.8.11 Data masking</t>
  </si>
  <si>
    <t>Art. 25 Data protection by design</t>
  </si>
  <si>
    <t>CC6.1</t>
  </si>
  <si>
    <t>Partial</t>
  </si>
  <si>
    <t>Data retention conflicts with HIPAA</t>
  </si>
  <si>
    <t>§8.4 AI system operation</t>
  </si>
  <si>
    <t>MANAGE 2.2</t>
  </si>
  <si>
    <t>A.8.10 Information deletion</t>
  </si>
  <si>
    <t>Art. 5(1)(e) Storage limitation</t>
  </si>
  <si>
    <t>CC6.5</t>
  </si>
  <si>
    <t>Gap</t>
  </si>
  <si>
    <t>PII pasted into prompts</t>
  </si>
  <si>
    <t>Model bias in outputs</t>
  </si>
  <si>
    <t>§8.5 AI system evaluation</t>
  </si>
  <si>
    <t>MEASURE 2.5</t>
  </si>
  <si>
    <t>A.8.16 Monitoring activities</t>
  </si>
  <si>
    <t>Art. 22 Automated decision-making</t>
  </si>
  <si>
    <t>CC4.1</t>
  </si>
  <si>
    <t>PHI/cardholder data logged</t>
  </si>
  <si>
    <t>MANAGE 2.4</t>
  </si>
  <si>
    <t>A.8.12 Data leakage prevention</t>
  </si>
  <si>
    <t>Art. 32 Security of processing</t>
  </si>
  <si>
    <t>No explainability documentation</t>
  </si>
  <si>
    <t>§8.6 AI system documentation</t>
  </si>
  <si>
    <t>GOVERN 1.7</t>
  </si>
  <si>
    <t>A.5.37 Documented procedures</t>
  </si>
  <si>
    <t>PHI in clinical conversations</t>
  </si>
  <si>
    <t>Art. 9 Special category data</t>
  </si>
  <si>
    <t>AI note errors — patient safety</t>
  </si>
  <si>
    <t>MEASURE 2.8</t>
  </si>
  <si>
    <t>Copyrighted code suggestions</t>
  </si>
  <si>
    <t>A.5.33 Protection of records</t>
  </si>
  <si>
    <t>Art. 17 Right to erasure</t>
  </si>
  <si>
    <t>CC3.2</t>
  </si>
  <si>
    <t>Secrets exposed in code</t>
  </si>
  <si>
    <t>Met</t>
  </si>
  <si>
    <t>CCPA obligations for CA residents</t>
  </si>
  <si>
    <t>A.5.34 Privacy protection</t>
  </si>
  <si>
    <t>CCPA §1798.100</t>
  </si>
  <si>
    <t>CC2.1</t>
  </si>
  <si>
    <t>GDPR sub-processor obligations</t>
  </si>
  <si>
    <t>GOVERN 1.6</t>
  </si>
  <si>
    <t>A.5.19 IS in supplier relations</t>
  </si>
  <si>
    <t>Art. 28 Processor obligations</t>
  </si>
  <si>
    <t>CC9.2</t>
  </si>
  <si>
    <t>Remediation ID</t>
  </si>
  <si>
    <t>Priority</t>
  </si>
  <si>
    <t>Recommended Action</t>
  </si>
  <si>
    <t>Owner</t>
  </si>
  <si>
    <t>Target Date</t>
  </si>
  <si>
    <t>R-001</t>
  </si>
  <si>
    <t>No explainability documentation for AWS Bedrock</t>
  </si>
  <si>
    <t>P1 — Immediate</t>
  </si>
  <si>
    <t>Implement AI explainability framework per ISO 42001 §6.1; document all model decision logic</t>
  </si>
  <si>
    <t>CTO</t>
  </si>
  <si>
    <t>30 days</t>
  </si>
  <si>
    <t>R-002</t>
  </si>
  <si>
    <t>PII pasted into ChatGPT prompts</t>
  </si>
  <si>
    <t>Deploy DLP policy blocking sensitive data in prompts; block personal ChatGPT on corporate network</t>
  </si>
  <si>
    <t>CISO</t>
  </si>
  <si>
    <t>R-003</t>
  </si>
  <si>
    <t>Review and configure Microsoft 365 retention settings; confirm PHI not retained beyond session</t>
  </si>
  <si>
    <t>R-004</t>
  </si>
  <si>
    <t>AI note errors — patient safety risk</t>
  </si>
  <si>
    <t>Enforce mandatory clinician sign-off policy; implement error rate tracking dashboard</t>
  </si>
  <si>
    <t>CTO + Clinical Ops</t>
  </si>
  <si>
    <t>R-005</t>
  </si>
  <si>
    <t>P2 — Short Term</t>
  </si>
  <si>
    <t>Complete CCPA data mapping; validate opt-out mechanism; conduct annual privacy review</t>
  </si>
  <si>
    <t>GC + Privacy Officer</t>
  </si>
  <si>
    <t>60 days</t>
  </si>
  <si>
    <t>R-006</t>
  </si>
  <si>
    <t>Model bias in AI outputs</t>
  </si>
  <si>
    <t>Implement output review process; assign human reviewer for high-stakes decisions; document bias incidents</t>
  </si>
  <si>
    <t>GRC Analyst</t>
  </si>
  <si>
    <t>R-007</t>
  </si>
  <si>
    <t>PHI in Copilot prompts</t>
  </si>
  <si>
    <t>Restrict PHI input via DLP rules; conduct staff awareness training; audit prompt logs quarterly</t>
  </si>
  <si>
    <t>CISO + HR</t>
  </si>
  <si>
    <t>R-008</t>
  </si>
  <si>
    <t>PHI/cardholder data logged in Bedrock</t>
  </si>
  <si>
    <t>Disable model training on customer data; set up monthly CloudTrail log audit</t>
  </si>
  <si>
    <t>DevOps</t>
  </si>
  <si>
    <t>R-009</t>
  </si>
  <si>
    <t>Annual Nuance vendor security review; obtain and review SOC 2 Type II report</t>
  </si>
  <si>
    <t>R-010</t>
  </si>
  <si>
    <t>P3 — Medium Term</t>
  </si>
  <si>
    <t>Review Salesforce sub-processor list; ensure Standard Contractual Clauses in place for EU data transfers</t>
  </si>
  <si>
    <t>GC</t>
  </si>
  <si>
    <t>90 days</t>
  </si>
  <si>
    <t>R-011</t>
  </si>
  <si>
    <t>Implement code review policy; add licence scanning to CI/CD pipeline</t>
  </si>
  <si>
    <t>Engineering Lead</t>
  </si>
  <si>
    <t>R-012</t>
  </si>
  <si>
    <t>P3 — Monitor</t>
  </si>
  <si>
    <t>Maintain secret scanning; rotate exposed credentials; review pre-commit hook coverage quarterly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</si>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</sst>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CC95FF-CEFC-4E6E-8206-68DF2A718A7B}" name="Table1" displayName="Table1" ref="A1:K7" totalsRowShown="0" headerRowDxfId="42" dataDxfId="57" headerRowBorderDxfId="55" tableBorderDxfId="56" totalsRowBorderDxfId="54">
  <autoFilter ref="A1:K7" xr:uid="{15CC95FF-CEFC-4E6E-8206-68DF2A718A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AAF5D25-CD5C-4393-952E-9BDD25A45CF5}" name="Tool ID" dataDxfId="53"/>
    <tableColumn id="2" xr3:uid="{D952F989-2132-4D3A-ACB4-7CECA41D39E8}" name="Tool Name" dataDxfId="52"/>
    <tableColumn id="3" xr3:uid="{5E142CFF-4B9E-4178-92D8-D683C38F2636}" name="Vendor" dataDxfId="51"/>
    <tableColumn id="4" xr3:uid="{BE7FA4A2-7074-4E7D-A501-ED1F73B5D236}" name="Category" dataDxfId="50"/>
    <tableColumn id="5" xr3:uid="{D187DD37-486C-40FB-BBFE-8D6E3548A5C5}" name="Business Purpose" dataDxfId="49"/>
    <tableColumn id="6" xr3:uid="{CFDE7AF3-C2AE-4AD7-83E0-381BD38F798D}" name="Data Accessed" dataDxfId="48"/>
    <tableColumn id="7" xr3:uid="{E8192E38-170B-408B-9535-330763CCF44B}" name="Deployment Type" dataDxfId="47"/>
    <tableColumn id="8" xr3:uid="{3832029C-7252-4616-9199-CDAB15099827}" name="Business Owner" dataDxfId="46"/>
    <tableColumn id="9" xr3:uid="{E8514CBF-4672-4E85-BF1F-27BD6138300D}" name="Regulatory Relevance" dataDxfId="45"/>
    <tableColumn id="10" xr3:uid="{2D45C21F-914F-4D0B-B021-6A4300A1534C}" name="Approved Status" dataDxfId="44"/>
    <tableColumn id="11" xr3:uid="{4D4CBBF5-A28B-40B6-A4C0-72161E8B9ACA}" name="Risk Rating (Preliminary)" dataDxfId="43"/>
  </tableColumns>
  <tableStyleInfo name="TableStyleLight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A2F95E-F100-4544-924B-A05B1AFE350E}" name="Table2" displayName="Table2" ref="A1:J13" totalsRowShown="0" headerRowDxfId="29" dataDxfId="41" headerRowBorderDxfId="39" tableBorderDxfId="40" totalsRowBorderDxfId="38">
  <autoFilter ref="A1:J13" xr:uid="{92A2F95E-F100-4544-924B-A05B1AFE35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92E547A-AD18-42A7-A1E6-72A2034B92CB}" name="Tool ID" dataDxfId="37"/>
    <tableColumn id="2" xr3:uid="{5063BC1E-D479-4EBC-8939-A717B1484D72}" name="Tool Name" dataDxfId="36"/>
    <tableColumn id="3" xr3:uid="{DA207191-9151-4777-9627-5AF66D824DBB}" name="Risk Category" dataDxfId="35"/>
    <tableColumn id="4" xr3:uid="{A87C44A5-DE26-4BDB-B5FC-966889978A39}" name="Risk Description" dataDxfId="34"/>
    <tableColumn id="5" xr3:uid="{1E46A438-0ACA-495A-B6C2-CA29DDAA3AA5}" name="Likelihood" dataDxfId="33"/>
    <tableColumn id="6" xr3:uid="{F18C847E-CC15-4EB6-B313-733CA749F897}" name="Impact" dataDxfId="32"/>
    <tableColumn id="7" xr3:uid="{207E1E8E-FB30-4029-ABEE-A857B1F50DA4}" name="Risk Score" dataDxfId="28">
      <calculatedColumnFormula>E2*F2</calculatedColumnFormula>
    </tableColumn>
    <tableColumn id="8" xr3:uid="{CE3A60B1-7FD8-43E3-A268-CF64A15DF14C}" name="Risk Level" dataDxfId="27"/>
    <tableColumn id="9" xr3:uid="{2A77AA04-C683-4D0D-A384-E1FEDF90A035}" name="Current Controls" dataDxfId="31"/>
    <tableColumn id="10" xr3:uid="{9F2141A2-EF36-4D5F-AA5F-C9B9FC21A219}" name="Recommended Actions" dataDxfId="30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1C1868-BDDB-4C90-85CA-10A937C632FA}" name="Table3" displayName="Table3" ref="A1:I13" totalsRowShown="0" headerRowDxfId="13" dataDxfId="14" headerRowBorderDxfId="25" tableBorderDxfId="26" totalsRowBorderDxfId="24">
  <autoFilter ref="A1:I13" xr:uid="{681C1868-BDDB-4C90-85CA-10A937C632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A73E47F-43B5-4F21-9EB6-A88C9EC71F1D}" name="Tool ID" dataDxfId="23"/>
    <tableColumn id="2" xr3:uid="{2945F691-D44E-490B-9EAD-B69ED8659946}" name="Tool Name" dataDxfId="22"/>
    <tableColumn id="3" xr3:uid="{0641DC64-0225-4C29-96FF-81D4729C060D}" name="Risk Description" dataDxfId="21"/>
    <tableColumn id="4" xr3:uid="{55C01328-A8D8-4C0B-944D-497A54A4F4CC}" name="ISO 42001 Control" dataDxfId="20"/>
    <tableColumn id="5" xr3:uid="{966E34AF-F4FB-4E4A-AE51-0AEF56C1FBE8}" name="NIST AI RMF" dataDxfId="19"/>
    <tableColumn id="6" xr3:uid="{B38F7114-F696-41DD-A7FB-A7FDAF7EB673}" name="ISO 27001:2022" dataDxfId="18"/>
    <tableColumn id="7" xr3:uid="{B1CBD294-9D9B-4068-934B-2F6314664112}" name="GDPR/CCPA" dataDxfId="17"/>
    <tableColumn id="8" xr3:uid="{2462E278-31AE-456E-8574-C3CB609B2FD6}" name="SOC 2" dataDxfId="16"/>
    <tableColumn id="9" xr3:uid="{311F3E9A-5D66-4D61-9959-9FBF57E7EC1F}" name="Gap Status" dataDxfId="15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210B60-4006-4A6D-8180-419637C3963E}" name="Table4" displayName="Table4" ref="A1:H13" totalsRowShown="0" headerRowDxfId="0" dataDxfId="1" headerRowBorderDxfId="11" tableBorderDxfId="12" totalsRowBorderDxfId="10">
  <autoFilter ref="A1:H13" xr:uid="{0F210B60-4006-4A6D-8180-419637C396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621583B-5573-4B94-BE3D-1D7F5DF4DA54}" name="Remediation ID" dataDxfId="9"/>
    <tableColumn id="2" xr3:uid="{1420C829-174F-41FF-98E0-3686F95FCBE7}" name="Tool ID" dataDxfId="8"/>
    <tableColumn id="3" xr3:uid="{207BA44F-1D5A-4660-891F-C098A3076310}" name="Risk Description" dataDxfId="7"/>
    <tableColumn id="4" xr3:uid="{E4237D87-D2BE-43FF-A150-353A93844CCD}" name="Gap Status" dataDxfId="6"/>
    <tableColumn id="5" xr3:uid="{6A5E90CD-2548-4ED7-B5F1-014F217BF01F}" name="Priority" dataDxfId="5"/>
    <tableColumn id="6" xr3:uid="{B5037C91-FEF0-4287-AA68-E98111E87F04}" name="Recommended Action" dataDxfId="4"/>
    <tableColumn id="7" xr3:uid="{5A65B945-F39A-4961-94ED-E7211A1630D1}" name="Owner" dataDxfId="3"/>
    <tableColumn id="8" xr3:uid="{BA2821CE-D768-4589-9A54-EB0550CC85E8}" name="Target Date" dataDxfId="2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C915-3020-4545-848C-265838B4D4BC}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21875" customWidth="1"/>
    <col min="2" max="2" width="21.6640625" customWidth="1"/>
    <col min="3" max="3" width="16.109375" customWidth="1"/>
    <col min="4" max="4" width="23.6640625" customWidth="1"/>
    <col min="5" max="5" width="25.109375" customWidth="1"/>
    <col min="6" max="6" width="25" customWidth="1"/>
    <col min="7" max="7" width="17.77734375" customWidth="1"/>
    <col min="8" max="8" width="16" customWidth="1"/>
    <col min="9" max="9" width="15" customWidth="1"/>
    <col min="10" max="10" width="14" customWidth="1"/>
    <col min="11" max="11" width="14.88671875" customWidth="1"/>
  </cols>
  <sheetData>
    <row r="1" spans="1:11" ht="28.8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49</v>
      </c>
      <c r="J1" s="14" t="s">
        <v>50</v>
      </c>
      <c r="K1" s="14" t="s">
        <v>51</v>
      </c>
    </row>
    <row r="2" spans="1:11" ht="28.8" x14ac:dyDescent="0.3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7" t="s">
        <v>52</v>
      </c>
      <c r="J2" s="7" t="s">
        <v>57</v>
      </c>
      <c r="K2" s="8" t="s">
        <v>59</v>
      </c>
    </row>
    <row r="3" spans="1:11" ht="28.8" x14ac:dyDescent="0.3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3" t="s">
        <v>22</v>
      </c>
      <c r="I3" s="2" t="s">
        <v>53</v>
      </c>
      <c r="J3" s="2" t="s">
        <v>58</v>
      </c>
      <c r="K3" s="9" t="s">
        <v>59</v>
      </c>
    </row>
    <row r="4" spans="1:11" ht="28.8" x14ac:dyDescent="0.3">
      <c r="A4" s="1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3" t="s">
        <v>22</v>
      </c>
      <c r="I4" s="2" t="s">
        <v>54</v>
      </c>
      <c r="J4" s="2" t="s">
        <v>57</v>
      </c>
      <c r="K4" s="10" t="s">
        <v>60</v>
      </c>
    </row>
    <row r="5" spans="1:11" ht="28.8" x14ac:dyDescent="0.3">
      <c r="A5" s="1" t="s">
        <v>30</v>
      </c>
      <c r="B5" s="2" t="s">
        <v>31</v>
      </c>
      <c r="C5" s="2" t="s">
        <v>10</v>
      </c>
      <c r="D5" s="2" t="s">
        <v>32</v>
      </c>
      <c r="E5" s="2" t="s">
        <v>33</v>
      </c>
      <c r="F5" s="2" t="s">
        <v>34</v>
      </c>
      <c r="G5" s="2" t="s">
        <v>14</v>
      </c>
      <c r="H5" s="3" t="s">
        <v>35</v>
      </c>
      <c r="I5" s="2" t="s">
        <v>55</v>
      </c>
      <c r="J5" s="2" t="s">
        <v>57</v>
      </c>
      <c r="K5" s="10" t="s">
        <v>60</v>
      </c>
    </row>
    <row r="6" spans="1:11" x14ac:dyDescent="0.3">
      <c r="A6" s="1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14</v>
      </c>
      <c r="H6" s="3" t="s">
        <v>22</v>
      </c>
      <c r="I6" s="2" t="s">
        <v>56</v>
      </c>
      <c r="J6" s="2" t="s">
        <v>57</v>
      </c>
      <c r="K6" s="11" t="s">
        <v>61</v>
      </c>
    </row>
    <row r="7" spans="1:11" ht="28.8" x14ac:dyDescent="0.3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14</v>
      </c>
      <c r="H7" s="6" t="s">
        <v>48</v>
      </c>
      <c r="I7" s="5" t="s">
        <v>53</v>
      </c>
      <c r="J7" s="5" t="s">
        <v>57</v>
      </c>
      <c r="K7" s="12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2D3-D0F9-44D8-90AF-F95AED5501ED}">
  <dimension ref="A1:J13"/>
  <sheetViews>
    <sheetView zoomScaleNormal="100" workbookViewId="0">
      <pane ySplit="1" topLeftCell="A9" activePane="bottomLeft" state="frozen"/>
      <selection pane="bottomLeft" activeCell="F5" sqref="F5"/>
    </sheetView>
  </sheetViews>
  <sheetFormatPr defaultRowHeight="14.4" x14ac:dyDescent="0.3"/>
  <cols>
    <col min="1" max="1" width="10.44140625" customWidth="1"/>
    <col min="2" max="2" width="16.5546875" customWidth="1"/>
    <col min="3" max="3" width="15.77734375" customWidth="1"/>
    <col min="4" max="4" width="34.88671875" customWidth="1"/>
    <col min="5" max="5" width="17.21875" customWidth="1"/>
    <col min="6" max="6" width="16.109375" customWidth="1"/>
    <col min="7" max="7" width="18.5546875" customWidth="1"/>
    <col min="8" max="8" width="20" customWidth="1"/>
    <col min="9" max="9" width="22" customWidth="1"/>
    <col min="10" max="10" width="25.77734375" customWidth="1"/>
  </cols>
  <sheetData>
    <row r="1" spans="1:10" ht="34.200000000000003" customHeight="1" x14ac:dyDescent="0.3">
      <c r="A1" s="13" t="s">
        <v>0</v>
      </c>
      <c r="B1" s="14" t="s">
        <v>1</v>
      </c>
      <c r="C1" s="14" t="s">
        <v>62</v>
      </c>
      <c r="D1" s="14" t="s">
        <v>63</v>
      </c>
      <c r="E1" s="14" t="s">
        <v>64</v>
      </c>
      <c r="F1" s="14" t="s">
        <v>65</v>
      </c>
      <c r="G1" s="14" t="s">
        <v>66</v>
      </c>
      <c r="H1" s="14" t="s">
        <v>67</v>
      </c>
      <c r="I1" s="14" t="s">
        <v>68</v>
      </c>
      <c r="J1" s="15" t="s">
        <v>69</v>
      </c>
    </row>
    <row r="2" spans="1:10" ht="43.2" x14ac:dyDescent="0.3">
      <c r="A2" s="1" t="s">
        <v>8</v>
      </c>
      <c r="B2" s="2" t="s">
        <v>9</v>
      </c>
      <c r="C2" s="2" t="s">
        <v>70</v>
      </c>
      <c r="D2" s="2" t="s">
        <v>71</v>
      </c>
      <c r="E2" s="2">
        <v>4</v>
      </c>
      <c r="F2" s="2">
        <v>5</v>
      </c>
      <c r="G2" s="2">
        <f t="shared" ref="G2:G13" si="0">E2*F2</f>
        <v>20</v>
      </c>
      <c r="H2" s="10" t="s">
        <v>60</v>
      </c>
      <c r="I2" s="2" t="s">
        <v>72</v>
      </c>
      <c r="J2" s="3" t="s">
        <v>73</v>
      </c>
    </row>
    <row r="3" spans="1:10" ht="43.2" x14ac:dyDescent="0.3">
      <c r="A3" s="1" t="s">
        <v>8</v>
      </c>
      <c r="B3" s="2" t="s">
        <v>9</v>
      </c>
      <c r="C3" s="2" t="s">
        <v>74</v>
      </c>
      <c r="D3" s="2" t="s">
        <v>75</v>
      </c>
      <c r="E3" s="2">
        <v>3</v>
      </c>
      <c r="F3" s="2">
        <v>4</v>
      </c>
      <c r="G3" s="2">
        <f t="shared" si="0"/>
        <v>12</v>
      </c>
      <c r="H3" s="9" t="s">
        <v>59</v>
      </c>
      <c r="I3" s="2" t="s">
        <v>76</v>
      </c>
      <c r="J3" s="3" t="s">
        <v>77</v>
      </c>
    </row>
    <row r="4" spans="1:10" ht="43.2" x14ac:dyDescent="0.3">
      <c r="A4" s="1" t="s">
        <v>16</v>
      </c>
      <c r="B4" s="2" t="s">
        <v>17</v>
      </c>
      <c r="C4" s="2" t="s">
        <v>70</v>
      </c>
      <c r="D4" s="2" t="s">
        <v>78</v>
      </c>
      <c r="E4" s="2">
        <v>4</v>
      </c>
      <c r="F4" s="2">
        <v>4</v>
      </c>
      <c r="G4" s="2">
        <f t="shared" si="0"/>
        <v>16</v>
      </c>
      <c r="H4" s="10" t="s">
        <v>60</v>
      </c>
      <c r="I4" s="2" t="s">
        <v>79</v>
      </c>
      <c r="J4" s="3" t="s">
        <v>80</v>
      </c>
    </row>
    <row r="5" spans="1:10" ht="43.2" x14ac:dyDescent="0.3">
      <c r="A5" s="1" t="s">
        <v>16</v>
      </c>
      <c r="B5" s="2" t="s">
        <v>17</v>
      </c>
      <c r="C5" s="2" t="s">
        <v>81</v>
      </c>
      <c r="D5" s="2" t="s">
        <v>82</v>
      </c>
      <c r="E5" s="2">
        <v>3</v>
      </c>
      <c r="F5" s="2">
        <v>3</v>
      </c>
      <c r="G5" s="2">
        <f t="shared" si="0"/>
        <v>9</v>
      </c>
      <c r="H5" s="11" t="s">
        <v>61</v>
      </c>
      <c r="I5" s="2" t="s">
        <v>83</v>
      </c>
      <c r="J5" s="3" t="s">
        <v>84</v>
      </c>
    </row>
    <row r="6" spans="1:10" ht="43.2" x14ac:dyDescent="0.3">
      <c r="A6" s="1" t="s">
        <v>23</v>
      </c>
      <c r="B6" s="2" t="s">
        <v>24</v>
      </c>
      <c r="C6" s="2" t="s">
        <v>85</v>
      </c>
      <c r="D6" s="2" t="s">
        <v>86</v>
      </c>
      <c r="E6" s="2">
        <v>3</v>
      </c>
      <c r="F6" s="2">
        <v>5</v>
      </c>
      <c r="G6" s="2">
        <f t="shared" si="0"/>
        <v>15</v>
      </c>
      <c r="H6" s="10" t="s">
        <v>60</v>
      </c>
      <c r="I6" s="2" t="s">
        <v>87</v>
      </c>
      <c r="J6" s="3" t="s">
        <v>88</v>
      </c>
    </row>
    <row r="7" spans="1:10" ht="43.2" x14ac:dyDescent="0.3">
      <c r="A7" s="1" t="s">
        <v>23</v>
      </c>
      <c r="B7" s="2" t="s">
        <v>24</v>
      </c>
      <c r="C7" s="2" t="s">
        <v>89</v>
      </c>
      <c r="D7" s="2" t="s">
        <v>90</v>
      </c>
      <c r="E7" s="2">
        <v>4</v>
      </c>
      <c r="F7" s="2">
        <v>5</v>
      </c>
      <c r="G7" s="2">
        <f t="shared" si="0"/>
        <v>20</v>
      </c>
      <c r="H7" s="10" t="s">
        <v>60</v>
      </c>
      <c r="I7" s="2" t="s">
        <v>91</v>
      </c>
      <c r="J7" s="3" t="s">
        <v>92</v>
      </c>
    </row>
    <row r="8" spans="1:10" ht="43.2" x14ac:dyDescent="0.3">
      <c r="A8" s="1" t="s">
        <v>30</v>
      </c>
      <c r="B8" s="2" t="s">
        <v>31</v>
      </c>
      <c r="C8" s="2" t="s">
        <v>70</v>
      </c>
      <c r="D8" s="2" t="s">
        <v>93</v>
      </c>
      <c r="E8" s="2">
        <v>3</v>
      </c>
      <c r="F8" s="2">
        <v>5</v>
      </c>
      <c r="G8" s="2">
        <f t="shared" si="0"/>
        <v>15</v>
      </c>
      <c r="H8" s="10" t="s">
        <v>60</v>
      </c>
      <c r="I8" s="2" t="s">
        <v>94</v>
      </c>
      <c r="J8" s="3" t="s">
        <v>95</v>
      </c>
    </row>
    <row r="9" spans="1:10" ht="43.2" x14ac:dyDescent="0.3">
      <c r="A9" s="1" t="s">
        <v>30</v>
      </c>
      <c r="B9" s="2" t="s">
        <v>31</v>
      </c>
      <c r="C9" s="2" t="s">
        <v>96</v>
      </c>
      <c r="D9" s="2" t="s">
        <v>97</v>
      </c>
      <c r="E9" s="2">
        <v>3</v>
      </c>
      <c r="F9" s="2">
        <v>5</v>
      </c>
      <c r="G9" s="2">
        <f t="shared" si="0"/>
        <v>15</v>
      </c>
      <c r="H9" s="10" t="s">
        <v>60</v>
      </c>
      <c r="I9" s="2" t="s">
        <v>98</v>
      </c>
      <c r="J9" s="3" t="s">
        <v>99</v>
      </c>
    </row>
    <row r="10" spans="1:10" ht="43.2" x14ac:dyDescent="0.3">
      <c r="A10" s="1" t="s">
        <v>36</v>
      </c>
      <c r="B10" s="2" t="s">
        <v>37</v>
      </c>
      <c r="C10" s="2" t="s">
        <v>100</v>
      </c>
      <c r="D10" s="2" t="s">
        <v>101</v>
      </c>
      <c r="E10" s="2">
        <v>3</v>
      </c>
      <c r="F10" s="2">
        <v>3</v>
      </c>
      <c r="G10" s="2">
        <f t="shared" si="0"/>
        <v>9</v>
      </c>
      <c r="H10" s="11" t="s">
        <v>61</v>
      </c>
      <c r="I10" s="2" t="s">
        <v>102</v>
      </c>
      <c r="J10" s="3" t="s">
        <v>103</v>
      </c>
    </row>
    <row r="11" spans="1:10" ht="43.2" x14ac:dyDescent="0.3">
      <c r="A11" s="1" t="s">
        <v>36</v>
      </c>
      <c r="B11" s="2" t="s">
        <v>37</v>
      </c>
      <c r="C11" s="2" t="s">
        <v>70</v>
      </c>
      <c r="D11" s="2" t="s">
        <v>104</v>
      </c>
      <c r="E11" s="2">
        <v>2</v>
      </c>
      <c r="F11" s="2">
        <v>4</v>
      </c>
      <c r="G11" s="2">
        <f t="shared" si="0"/>
        <v>8</v>
      </c>
      <c r="H11" s="11" t="s">
        <v>61</v>
      </c>
      <c r="I11" s="2" t="s">
        <v>105</v>
      </c>
      <c r="J11" s="3" t="s">
        <v>106</v>
      </c>
    </row>
    <row r="12" spans="1:10" ht="43.2" x14ac:dyDescent="0.3">
      <c r="A12" s="1" t="s">
        <v>42</v>
      </c>
      <c r="B12" s="2" t="s">
        <v>43</v>
      </c>
      <c r="C12" s="2" t="s">
        <v>107</v>
      </c>
      <c r="D12" s="2" t="s">
        <v>108</v>
      </c>
      <c r="E12" s="2">
        <v>4</v>
      </c>
      <c r="F12" s="2">
        <v>4</v>
      </c>
      <c r="G12" s="2">
        <f t="shared" si="0"/>
        <v>16</v>
      </c>
      <c r="H12" s="10" t="s">
        <v>60</v>
      </c>
      <c r="I12" s="2" t="s">
        <v>109</v>
      </c>
      <c r="J12" s="3" t="s">
        <v>110</v>
      </c>
    </row>
    <row r="13" spans="1:10" ht="43.2" x14ac:dyDescent="0.3">
      <c r="A13" s="4" t="s">
        <v>42</v>
      </c>
      <c r="B13" s="5" t="s">
        <v>43</v>
      </c>
      <c r="C13" s="5" t="s">
        <v>74</v>
      </c>
      <c r="D13" s="5" t="s">
        <v>111</v>
      </c>
      <c r="E13" s="5">
        <v>3</v>
      </c>
      <c r="F13" s="5">
        <v>4</v>
      </c>
      <c r="G13" s="5">
        <f t="shared" si="0"/>
        <v>12</v>
      </c>
      <c r="H13" s="16" t="s">
        <v>59</v>
      </c>
      <c r="I13" s="5" t="s">
        <v>112</v>
      </c>
      <c r="J13" s="6" t="s">
        <v>113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27BC-1EA1-4CCC-B7EB-8C29875BEF51}">
  <dimension ref="A1:I13"/>
  <sheetViews>
    <sheetView workbookViewId="0">
      <pane ySplit="1" topLeftCell="A2" activePane="bottomLeft" state="frozen"/>
      <selection pane="bottomLeft" activeCell="I11" sqref="I11"/>
    </sheetView>
  </sheetViews>
  <sheetFormatPr defaultRowHeight="14.4" x14ac:dyDescent="0.3"/>
  <cols>
    <col min="1" max="1" width="17.33203125" customWidth="1"/>
    <col min="2" max="2" width="18" customWidth="1"/>
    <col min="3" max="3" width="27.33203125" customWidth="1"/>
    <col min="4" max="4" width="25.5546875" customWidth="1"/>
    <col min="5" max="5" width="15.5546875" customWidth="1"/>
    <col min="6" max="6" width="25.109375" customWidth="1"/>
    <col min="7" max="7" width="31.21875" customWidth="1"/>
    <col min="8" max="8" width="17.33203125" customWidth="1"/>
    <col min="9" max="9" width="18.21875" customWidth="1"/>
  </cols>
  <sheetData>
    <row r="1" spans="1:9" ht="31.8" customHeight="1" x14ac:dyDescent="0.3">
      <c r="A1" s="13" t="s">
        <v>0</v>
      </c>
      <c r="B1" s="14" t="s">
        <v>1</v>
      </c>
      <c r="C1" s="14" t="s">
        <v>63</v>
      </c>
      <c r="D1" s="14" t="s">
        <v>114</v>
      </c>
      <c r="E1" s="14" t="s">
        <v>115</v>
      </c>
      <c r="F1" s="14" t="s">
        <v>116</v>
      </c>
      <c r="G1" s="14" t="s">
        <v>117</v>
      </c>
      <c r="H1" s="14" t="s">
        <v>118</v>
      </c>
      <c r="I1" s="15" t="s">
        <v>119</v>
      </c>
    </row>
    <row r="2" spans="1:9" ht="28.8" x14ac:dyDescent="0.3">
      <c r="A2" s="1" t="s">
        <v>8</v>
      </c>
      <c r="B2" s="2" t="s">
        <v>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18" t="s">
        <v>126</v>
      </c>
    </row>
    <row r="3" spans="1:9" ht="42.6" customHeight="1" x14ac:dyDescent="0.3">
      <c r="A3" s="1" t="s">
        <v>8</v>
      </c>
      <c r="B3" s="2" t="s">
        <v>9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17" t="s">
        <v>133</v>
      </c>
    </row>
    <row r="4" spans="1:9" x14ac:dyDescent="0.3">
      <c r="A4" s="1" t="s">
        <v>16</v>
      </c>
      <c r="B4" s="2" t="s">
        <v>17</v>
      </c>
      <c r="C4" s="2" t="s">
        <v>134</v>
      </c>
      <c r="D4" s="2" t="s">
        <v>121</v>
      </c>
      <c r="E4" s="2" t="s">
        <v>122</v>
      </c>
      <c r="F4" s="2" t="s">
        <v>123</v>
      </c>
      <c r="G4" s="2" t="s">
        <v>124</v>
      </c>
      <c r="H4" s="2" t="s">
        <v>125</v>
      </c>
      <c r="I4" s="17" t="s">
        <v>133</v>
      </c>
    </row>
    <row r="5" spans="1:9" x14ac:dyDescent="0.3">
      <c r="A5" s="1" t="s">
        <v>16</v>
      </c>
      <c r="B5" s="2" t="s">
        <v>17</v>
      </c>
      <c r="C5" s="2" t="s">
        <v>135</v>
      </c>
      <c r="D5" s="2" t="s">
        <v>136</v>
      </c>
      <c r="E5" s="2" t="s">
        <v>137</v>
      </c>
      <c r="F5" s="2" t="s">
        <v>138</v>
      </c>
      <c r="G5" s="2" t="s">
        <v>139</v>
      </c>
      <c r="H5" s="2" t="s">
        <v>140</v>
      </c>
      <c r="I5" s="17" t="s">
        <v>133</v>
      </c>
    </row>
    <row r="6" spans="1:9" ht="28.8" x14ac:dyDescent="0.3">
      <c r="A6" s="1" t="s">
        <v>23</v>
      </c>
      <c r="B6" s="2" t="s">
        <v>24</v>
      </c>
      <c r="C6" s="2" t="s">
        <v>141</v>
      </c>
      <c r="D6" s="2" t="s">
        <v>128</v>
      </c>
      <c r="E6" s="2" t="s">
        <v>142</v>
      </c>
      <c r="F6" s="2" t="s">
        <v>143</v>
      </c>
      <c r="G6" s="2" t="s">
        <v>144</v>
      </c>
      <c r="H6" s="2" t="s">
        <v>125</v>
      </c>
      <c r="I6" s="18" t="s">
        <v>126</v>
      </c>
    </row>
    <row r="7" spans="1:9" ht="28.8" x14ac:dyDescent="0.3">
      <c r="A7" s="1" t="s">
        <v>23</v>
      </c>
      <c r="B7" s="2" t="s">
        <v>24</v>
      </c>
      <c r="C7" s="2" t="s">
        <v>145</v>
      </c>
      <c r="D7" s="2" t="s">
        <v>146</v>
      </c>
      <c r="E7" s="2" t="s">
        <v>147</v>
      </c>
      <c r="F7" s="2" t="s">
        <v>148</v>
      </c>
      <c r="G7" s="2" t="s">
        <v>139</v>
      </c>
      <c r="H7" s="2" t="s">
        <v>140</v>
      </c>
      <c r="I7" s="17" t="s">
        <v>133</v>
      </c>
    </row>
    <row r="8" spans="1:9" x14ac:dyDescent="0.3">
      <c r="A8" s="1" t="s">
        <v>30</v>
      </c>
      <c r="B8" s="2" t="s">
        <v>31</v>
      </c>
      <c r="C8" s="2" t="s">
        <v>149</v>
      </c>
      <c r="D8" s="2" t="s">
        <v>121</v>
      </c>
      <c r="E8" s="2" t="s">
        <v>129</v>
      </c>
      <c r="F8" s="2" t="s">
        <v>123</v>
      </c>
      <c r="G8" s="2" t="s">
        <v>150</v>
      </c>
      <c r="H8" s="2" t="s">
        <v>125</v>
      </c>
      <c r="I8" s="18" t="s">
        <v>126</v>
      </c>
    </row>
    <row r="9" spans="1:9" x14ac:dyDescent="0.3">
      <c r="A9" s="1" t="s">
        <v>30</v>
      </c>
      <c r="B9" s="2" t="s">
        <v>31</v>
      </c>
      <c r="C9" s="2" t="s">
        <v>151</v>
      </c>
      <c r="D9" s="2" t="s">
        <v>136</v>
      </c>
      <c r="E9" s="2" t="s">
        <v>152</v>
      </c>
      <c r="F9" s="2" t="s">
        <v>138</v>
      </c>
      <c r="G9" s="2" t="s">
        <v>139</v>
      </c>
      <c r="H9" s="2" t="s">
        <v>140</v>
      </c>
      <c r="I9" s="17" t="s">
        <v>133</v>
      </c>
    </row>
    <row r="10" spans="1:9" x14ac:dyDescent="0.3">
      <c r="A10" s="1" t="s">
        <v>36</v>
      </c>
      <c r="B10" s="2" t="s">
        <v>37</v>
      </c>
      <c r="C10" s="2" t="s">
        <v>153</v>
      </c>
      <c r="D10" s="2" t="s">
        <v>136</v>
      </c>
      <c r="E10" s="2" t="s">
        <v>147</v>
      </c>
      <c r="F10" s="2" t="s">
        <v>154</v>
      </c>
      <c r="G10" s="2" t="s">
        <v>155</v>
      </c>
      <c r="H10" s="2" t="s">
        <v>156</v>
      </c>
      <c r="I10" s="18" t="s">
        <v>126</v>
      </c>
    </row>
    <row r="11" spans="1:9" ht="28.8" x14ac:dyDescent="0.3">
      <c r="A11" s="1" t="s">
        <v>36</v>
      </c>
      <c r="B11" s="2" t="s">
        <v>37</v>
      </c>
      <c r="C11" s="2" t="s">
        <v>157</v>
      </c>
      <c r="D11" s="2" t="s">
        <v>121</v>
      </c>
      <c r="E11" s="2" t="s">
        <v>142</v>
      </c>
      <c r="F11" s="2" t="s">
        <v>143</v>
      </c>
      <c r="G11" s="2" t="s">
        <v>144</v>
      </c>
      <c r="H11" s="2" t="s">
        <v>125</v>
      </c>
      <c r="I11" s="21" t="s">
        <v>158</v>
      </c>
    </row>
    <row r="12" spans="1:9" ht="28.8" x14ac:dyDescent="0.3">
      <c r="A12" s="1" t="s">
        <v>42</v>
      </c>
      <c r="B12" s="2" t="s">
        <v>43</v>
      </c>
      <c r="C12" s="2" t="s">
        <v>159</v>
      </c>
      <c r="D12" s="2" t="s">
        <v>121</v>
      </c>
      <c r="E12" s="2" t="s">
        <v>122</v>
      </c>
      <c r="F12" s="2" t="s">
        <v>160</v>
      </c>
      <c r="G12" s="2" t="s">
        <v>161</v>
      </c>
      <c r="H12" s="2" t="s">
        <v>162</v>
      </c>
      <c r="I12" s="17" t="s">
        <v>133</v>
      </c>
    </row>
    <row r="13" spans="1:9" x14ac:dyDescent="0.3">
      <c r="A13" s="4" t="s">
        <v>42</v>
      </c>
      <c r="B13" s="5" t="s">
        <v>43</v>
      </c>
      <c r="C13" s="5" t="s">
        <v>163</v>
      </c>
      <c r="D13" s="5" t="s">
        <v>128</v>
      </c>
      <c r="E13" s="5" t="s">
        <v>164</v>
      </c>
      <c r="F13" s="5" t="s">
        <v>165</v>
      </c>
      <c r="G13" s="5" t="s">
        <v>166</v>
      </c>
      <c r="H13" s="5" t="s">
        <v>167</v>
      </c>
      <c r="I13" s="19" t="s">
        <v>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8749-ED8A-40D0-A076-59C4BBE5B4EE}">
  <dimension ref="A1:H13"/>
  <sheetViews>
    <sheetView zoomScaleNormal="100" workbookViewId="0"/>
  </sheetViews>
  <sheetFormatPr defaultRowHeight="14.4" x14ac:dyDescent="0.3"/>
  <cols>
    <col min="1" max="1" width="15.77734375" customWidth="1"/>
    <col min="2" max="2" width="11.21875" customWidth="1"/>
    <col min="3" max="3" width="27" customWidth="1"/>
    <col min="4" max="4" width="15.5546875" customWidth="1"/>
    <col min="5" max="5" width="20.109375" customWidth="1"/>
    <col min="6" max="6" width="38.77734375" customWidth="1"/>
    <col min="7" max="7" width="21.44140625" customWidth="1"/>
    <col min="8" max="8" width="17.21875" customWidth="1"/>
  </cols>
  <sheetData>
    <row r="1" spans="1:8" ht="37.200000000000003" customHeight="1" x14ac:dyDescent="0.3">
      <c r="A1" s="13" t="s">
        <v>168</v>
      </c>
      <c r="B1" s="14" t="s">
        <v>0</v>
      </c>
      <c r="C1" s="14" t="s">
        <v>63</v>
      </c>
      <c r="D1" s="14" t="s">
        <v>119</v>
      </c>
      <c r="E1" s="14" t="s">
        <v>169</v>
      </c>
      <c r="F1" s="14" t="s">
        <v>170</v>
      </c>
      <c r="G1" s="14" t="s">
        <v>171</v>
      </c>
      <c r="H1" s="15" t="s">
        <v>172</v>
      </c>
    </row>
    <row r="2" spans="1:8" ht="43.2" x14ac:dyDescent="0.3">
      <c r="A2" s="1" t="s">
        <v>173</v>
      </c>
      <c r="B2" s="2" t="s">
        <v>23</v>
      </c>
      <c r="C2" s="2" t="s">
        <v>174</v>
      </c>
      <c r="D2" s="2" t="s">
        <v>133</v>
      </c>
      <c r="E2" s="10" t="s">
        <v>175</v>
      </c>
      <c r="F2" s="2" t="s">
        <v>176</v>
      </c>
      <c r="G2" s="2" t="s">
        <v>177</v>
      </c>
      <c r="H2" s="3" t="s">
        <v>178</v>
      </c>
    </row>
    <row r="3" spans="1:8" ht="43.2" x14ac:dyDescent="0.3">
      <c r="A3" s="1" t="s">
        <v>179</v>
      </c>
      <c r="B3" s="2" t="s">
        <v>16</v>
      </c>
      <c r="C3" s="2" t="s">
        <v>180</v>
      </c>
      <c r="D3" s="2" t="s">
        <v>133</v>
      </c>
      <c r="E3" s="10" t="s">
        <v>175</v>
      </c>
      <c r="F3" s="2" t="s">
        <v>181</v>
      </c>
      <c r="G3" s="2" t="s">
        <v>182</v>
      </c>
      <c r="H3" s="3" t="s">
        <v>178</v>
      </c>
    </row>
    <row r="4" spans="1:8" ht="43.2" x14ac:dyDescent="0.3">
      <c r="A4" s="1" t="s">
        <v>183</v>
      </c>
      <c r="B4" s="2" t="s">
        <v>8</v>
      </c>
      <c r="C4" s="2" t="s">
        <v>127</v>
      </c>
      <c r="D4" s="2" t="s">
        <v>133</v>
      </c>
      <c r="E4" s="10" t="s">
        <v>175</v>
      </c>
      <c r="F4" s="2" t="s">
        <v>184</v>
      </c>
      <c r="G4" s="2" t="s">
        <v>182</v>
      </c>
      <c r="H4" s="3" t="s">
        <v>178</v>
      </c>
    </row>
    <row r="5" spans="1:8" ht="28.8" x14ac:dyDescent="0.3">
      <c r="A5" s="1" t="s">
        <v>185</v>
      </c>
      <c r="B5" s="2" t="s">
        <v>30</v>
      </c>
      <c r="C5" s="2" t="s">
        <v>186</v>
      </c>
      <c r="D5" s="2" t="s">
        <v>133</v>
      </c>
      <c r="E5" s="10" t="s">
        <v>175</v>
      </c>
      <c r="F5" s="2" t="s">
        <v>187</v>
      </c>
      <c r="G5" s="2" t="s">
        <v>188</v>
      </c>
      <c r="H5" s="3" t="s">
        <v>178</v>
      </c>
    </row>
    <row r="6" spans="1:8" ht="43.2" x14ac:dyDescent="0.3">
      <c r="A6" s="1" t="s">
        <v>189</v>
      </c>
      <c r="B6" s="2" t="s">
        <v>42</v>
      </c>
      <c r="C6" s="2" t="s">
        <v>159</v>
      </c>
      <c r="D6" s="2" t="s">
        <v>133</v>
      </c>
      <c r="E6" s="9" t="s">
        <v>190</v>
      </c>
      <c r="F6" s="2" t="s">
        <v>191</v>
      </c>
      <c r="G6" s="2" t="s">
        <v>192</v>
      </c>
      <c r="H6" s="3" t="s">
        <v>193</v>
      </c>
    </row>
    <row r="7" spans="1:8" ht="43.2" x14ac:dyDescent="0.3">
      <c r="A7" s="1" t="s">
        <v>194</v>
      </c>
      <c r="B7" s="2" t="s">
        <v>16</v>
      </c>
      <c r="C7" s="2" t="s">
        <v>195</v>
      </c>
      <c r="D7" s="2" t="s">
        <v>133</v>
      </c>
      <c r="E7" s="9" t="s">
        <v>190</v>
      </c>
      <c r="F7" s="2" t="s">
        <v>196</v>
      </c>
      <c r="G7" s="2" t="s">
        <v>197</v>
      </c>
      <c r="H7" s="3" t="s">
        <v>193</v>
      </c>
    </row>
    <row r="8" spans="1:8" ht="43.2" x14ac:dyDescent="0.3">
      <c r="A8" s="1" t="s">
        <v>198</v>
      </c>
      <c r="B8" s="2" t="s">
        <v>8</v>
      </c>
      <c r="C8" s="2" t="s">
        <v>199</v>
      </c>
      <c r="D8" s="2" t="s">
        <v>126</v>
      </c>
      <c r="E8" s="9" t="s">
        <v>190</v>
      </c>
      <c r="F8" s="2" t="s">
        <v>200</v>
      </c>
      <c r="G8" s="2" t="s">
        <v>201</v>
      </c>
      <c r="H8" s="3" t="s">
        <v>193</v>
      </c>
    </row>
    <row r="9" spans="1:8" ht="28.8" x14ac:dyDescent="0.3">
      <c r="A9" s="1" t="s">
        <v>202</v>
      </c>
      <c r="B9" s="2" t="s">
        <v>23</v>
      </c>
      <c r="C9" s="2" t="s">
        <v>203</v>
      </c>
      <c r="D9" s="2" t="s">
        <v>126</v>
      </c>
      <c r="E9" s="9" t="s">
        <v>190</v>
      </c>
      <c r="F9" s="2" t="s">
        <v>204</v>
      </c>
      <c r="G9" s="2" t="s">
        <v>205</v>
      </c>
      <c r="H9" s="3" t="s">
        <v>193</v>
      </c>
    </row>
    <row r="10" spans="1:8" ht="28.8" x14ac:dyDescent="0.3">
      <c r="A10" s="1" t="s">
        <v>206</v>
      </c>
      <c r="B10" s="2" t="s">
        <v>30</v>
      </c>
      <c r="C10" s="2" t="s">
        <v>149</v>
      </c>
      <c r="D10" s="2" t="s">
        <v>126</v>
      </c>
      <c r="E10" s="9" t="s">
        <v>190</v>
      </c>
      <c r="F10" s="2" t="s">
        <v>207</v>
      </c>
      <c r="G10" s="2" t="s">
        <v>197</v>
      </c>
      <c r="H10" s="3" t="s">
        <v>193</v>
      </c>
    </row>
    <row r="11" spans="1:8" ht="43.2" x14ac:dyDescent="0.3">
      <c r="A11" s="1" t="s">
        <v>208</v>
      </c>
      <c r="B11" s="2" t="s">
        <v>42</v>
      </c>
      <c r="C11" s="2" t="s">
        <v>163</v>
      </c>
      <c r="D11" s="2" t="s">
        <v>126</v>
      </c>
      <c r="E11" s="11" t="s">
        <v>209</v>
      </c>
      <c r="F11" s="2" t="s">
        <v>210</v>
      </c>
      <c r="G11" s="2" t="s">
        <v>211</v>
      </c>
      <c r="H11" s="3" t="s">
        <v>212</v>
      </c>
    </row>
    <row r="12" spans="1:8" ht="28.8" x14ac:dyDescent="0.3">
      <c r="A12" s="1" t="s">
        <v>213</v>
      </c>
      <c r="B12" s="2" t="s">
        <v>36</v>
      </c>
      <c r="C12" s="2" t="s">
        <v>153</v>
      </c>
      <c r="D12" s="2" t="s">
        <v>126</v>
      </c>
      <c r="E12" s="11" t="s">
        <v>209</v>
      </c>
      <c r="F12" s="2" t="s">
        <v>214</v>
      </c>
      <c r="G12" s="2" t="s">
        <v>215</v>
      </c>
      <c r="H12" s="3" t="s">
        <v>212</v>
      </c>
    </row>
    <row r="13" spans="1:8" ht="72" x14ac:dyDescent="0.3">
      <c r="A13" s="4" t="s">
        <v>216</v>
      </c>
      <c r="B13" s="5" t="s">
        <v>36</v>
      </c>
      <c r="C13" s="5" t="s">
        <v>157</v>
      </c>
      <c r="D13" s="5" t="s">
        <v>158</v>
      </c>
      <c r="E13" s="20" t="s">
        <v>217</v>
      </c>
      <c r="F13" s="5" t="s">
        <v>218</v>
      </c>
      <c r="G13" s="5" t="s">
        <v>215</v>
      </c>
      <c r="H13" s="6" t="s">
        <v>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 Tool Inventory</vt:lpstr>
      <vt:lpstr>Risk Assessment</vt:lpstr>
      <vt:lpstr>Control Gap Matrix</vt:lpstr>
      <vt:lpstr>Remediation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Patil</dc:creator>
  <cp:lastModifiedBy>Ninad Patil</cp:lastModifiedBy>
  <dcterms:created xsi:type="dcterms:W3CDTF">2026-06-23T09:14:08Z</dcterms:created>
  <dcterms:modified xsi:type="dcterms:W3CDTF">2026-06-23T10:05:23Z</dcterms:modified>
</cp:coreProperties>
</file>